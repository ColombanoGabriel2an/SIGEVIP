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esumen" sheetId="1" state="visible" r:id="rId3"/>
    <sheet name="Alcance" sheetId="2" state="visible" r:id="rId4"/>
    <sheet name="Actores" sheetId="3" state="visible" r:id="rId5"/>
    <sheet name="Casos_Uso" sheetId="4" state="visible" r:id="rId6"/>
    <sheet name="Transacciones" sheetId="5" state="visible" r:id="rId7"/>
    <sheet name="Factores_Tecnicos" sheetId="6" state="visible" r:id="rId8"/>
    <sheet name="Factores_Ambientales" sheetId="7" state="visible" r:id="rId9"/>
    <sheet name="Resultado" sheetId="8" state="visible" r:id="rId10"/>
    <sheet name="Cronograma" sheetId="9" state="visible" r:id="rId11"/>
    <sheet name="Fuentes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<sst xmlns="http://schemas.openxmlformats.org/spreadsheetml/2006/main" count="295" uniqueCount="252">
  <si>
    <t xml:space="preserve">SIGEVIP — Métrica de Puntos de Casos de Uso (UCP)</t>
  </si>
  <si>
    <t xml:space="preserve">Métrica</t>
  </si>
  <si>
    <t xml:space="preserve">UAW</t>
  </si>
  <si>
    <t xml:space="preserve">UUCW</t>
  </si>
  <si>
    <t xml:space="preserve">UUCP</t>
  </si>
  <si>
    <t xml:space="preserve">TCF</t>
  </si>
  <si>
    <t xml:space="preserve">ECF</t>
  </si>
  <si>
    <t xml:space="preserve">UCP</t>
  </si>
  <si>
    <t xml:space="preserve">Escenario probable</t>
  </si>
  <si>
    <t xml:space="preserve">Resultado</t>
  </si>
  <si>
    <t xml:space="preserve">Alcance medido: requerimiento core «Cargar viáticos, enviar a rendición y aprobar viaje» (RF20–RF32).</t>
  </si>
  <si>
    <t xml:space="preserve">Escenario</t>
  </si>
  <si>
    <t xml:space="preserve">Horas/UCP</t>
  </si>
  <si>
    <t xml:space="preserve">Esfuerzo estimado</t>
  </si>
  <si>
    <t xml:space="preserve">Semanas a 20 h/semana</t>
  </si>
  <si>
    <t xml:space="preserve">Optimista</t>
  </si>
  <si>
    <t xml:space="preserve">Probable</t>
  </si>
  <si>
    <t xml:space="preserve">Conservador</t>
  </si>
  <si>
    <t xml:space="preserve">Referencia clásica</t>
  </si>
  <si>
    <t xml:space="preserve">Uso: modifique únicamente las celdas amarillas. Las verdes contienen fórmulas automáticas.</t>
  </si>
  <si>
    <t xml:space="preserve">Alcance, criterios y supuestos de la métrica</t>
  </si>
  <si>
    <t xml:space="preserve">Elemento</t>
  </si>
  <si>
    <t xml:space="preserve">Definición aplicada</t>
  </si>
  <si>
    <t xml:space="preserve">Sistema</t>
  </si>
  <si>
    <t xml:space="preserve">SIGEVIP — Sistema de Gestión de Viajes y Viáticos con Registro de Visitas.</t>
  </si>
  <si>
    <t xml:space="preserve">Funcionalidad analizada</t>
  </si>
  <si>
    <t xml:space="preserve">Carga de viáticos, envío a rendición, revisión y aprobación del viaje.</t>
  </si>
  <si>
    <t xml:space="preserve">Requisitos</t>
  </si>
  <si>
    <t xml:space="preserve">RF20 a RF32; consultas vinculadas RF34 y RF36 solo como apoyo del flujo.</t>
  </si>
  <si>
    <t xml:space="preserve">Unidad de conteo</t>
  </si>
  <si>
    <t xml:space="preserve">Un caso de uso core complejo. Los subprocesos no se cuentan por separado para evitar doble conteo.</t>
  </si>
  <si>
    <t xml:space="preserve">Definición de transacción</t>
  </si>
  <si>
    <t xml:space="preserve">Interacción completa entre actor y sistema que produce una validación, consulta o modificación observable.</t>
  </si>
  <si>
    <t xml:space="preserve">Arquitectura considerada</t>
  </si>
  <si>
    <t xml:space="preserve">Aplicación de escritorio WinForms, SQL Server local, ADO.NET y arquitectura por capas.</t>
  </si>
  <si>
    <t xml:space="preserve">Incluido</t>
  </si>
  <si>
    <t xml:space="preserve">Análisis, diseño, Domain, Application, persistencia, WinForms, pruebas y documentación de la iteración.</t>
  </si>
  <si>
    <t xml:space="preserve">Excluido</t>
  </si>
  <si>
    <t xml:space="preserve">Arquitectura inicial, Clientes, Viajes/Visitas previos, auditoría general posterior, instalador, mapas y servicios externos.</t>
  </si>
  <si>
    <t xml:space="preserve">Productividad</t>
  </si>
  <si>
    <t xml:space="preserve">Se presentan escenarios porque no existe una base histórica formal de horas por UCP.</t>
  </si>
  <si>
    <t xml:space="preserve">Conteo de actores — Unadjusted Actor Weight (UAW)</t>
  </si>
  <si>
    <t xml:space="preserve">Código</t>
  </si>
  <si>
    <t xml:space="preserve">Actor</t>
  </si>
  <si>
    <t xml:space="preserve">Descripción</t>
  </si>
  <si>
    <t xml:space="preserve">Tipo</t>
  </si>
  <si>
    <t xml:space="preserve">Peso</t>
  </si>
  <si>
    <t xml:space="preserve">Cantidad</t>
  </si>
  <si>
    <t xml:space="preserve">Subtotal</t>
  </si>
  <si>
    <t xml:space="preserve">Justificación</t>
  </si>
  <si>
    <t xml:space="preserve">ACT-01</t>
  </si>
  <si>
    <t xml:space="preserve">Administrativo</t>
  </si>
  <si>
    <t xml:space="preserve">Carga viáticos y envía el viaje a rendición.</t>
  </si>
  <si>
    <t xml:space="preserve">Complejo</t>
  </si>
  <si>
    <t xml:space="preserve">Persona que utiliza interfaz gráfica WinForms.</t>
  </si>
  <si>
    <t xml:space="preserve">ACT-02</t>
  </si>
  <si>
    <t xml:space="preserve">Gerente</t>
  </si>
  <si>
    <t xml:space="preserve">Revisa, excluye/reactiva gastos, ajusta anticipo y aprueba/cancela.</t>
  </si>
  <si>
    <t xml:space="preserve">Total UAW</t>
  </si>
  <si>
    <t xml:space="preserve">Conteo de casos de uso — Unadjusted Use Case Weight (UUCW)</t>
  </si>
  <si>
    <t xml:space="preserve">Caso / subproceso</t>
  </si>
  <si>
    <t xml:space="preserve">Transacciones</t>
  </si>
  <si>
    <t xml:space="preserve">Complejidad</t>
  </si>
  <si>
    <t xml:space="preserve">Incluir (1/0)</t>
  </si>
  <si>
    <t xml:space="preserve">Observación</t>
  </si>
  <si>
    <t xml:space="preserve">UC-CORE-01</t>
  </si>
  <si>
    <t xml:space="preserve">Cargar viáticos, enviar a rendición y aprobar viaje</t>
  </si>
  <si>
    <t xml:space="preserve">Caso de uso core contado de manera integral.</t>
  </si>
  <si>
    <t xml:space="preserve">SP-01</t>
  </si>
  <si>
    <t xml:space="preserve">Registrar o modificar viático y comprobante</t>
  </si>
  <si>
    <t xml:space="preserve">Subproceso incluido en UC-CORE-01; no se suma para evitar doble conteo.</t>
  </si>
  <si>
    <t xml:space="preserve">SP-02</t>
  </si>
  <si>
    <t xml:space="preserve">Enviar viaje a rendición</t>
  </si>
  <si>
    <t xml:space="preserve">Subproceso incluido en UC-CORE-01.</t>
  </si>
  <si>
    <t xml:space="preserve">SP-03</t>
  </si>
  <si>
    <t xml:space="preserve">Revisar, excluir/reactivar y ajustar anticipo</t>
  </si>
  <si>
    <t xml:space="preserve">SP-04</t>
  </si>
  <si>
    <t xml:space="preserve">Aprobar o cancelar y mostrar saldo final</t>
  </si>
  <si>
    <t xml:space="preserve">Total UUCW</t>
  </si>
  <si>
    <t xml:space="preserve">N.º</t>
  </si>
  <si>
    <t xml:space="preserve">Transacción</t>
  </si>
  <si>
    <t xml:space="preserve">El Administrativo selecciona un Viaje en estado Abierto.</t>
  </si>
  <si>
    <t xml:space="preserve">El sistema recupera y muestra el detalle del Viaje y sus Viáticos.</t>
  </si>
  <si>
    <t xml:space="preserve">El Administrativo inicia el registro de un Viático.</t>
  </si>
  <si>
    <t xml:space="preserve">El sistema valida fecha, categoría, método de pago, importe y descripción.</t>
  </si>
  <si>
    <t xml:space="preserve">El sistema valida la persona pagadora cuando el método lo requiere.</t>
  </si>
  <si>
    <t xml:space="preserve">El sistema valida y registra el comprobante o la justificación por su ausencia.</t>
  </si>
  <si>
    <t xml:space="preserve">El sistema guarda el Viático y actualiza el total gastado.</t>
  </si>
  <si>
    <t xml:space="preserve">El Administrativo envía el Viaje a rendición.</t>
  </si>
  <si>
    <t xml:space="preserve">El sistema valida el estado y bloquea modificaciones posteriores.</t>
  </si>
  <si>
    <t xml:space="preserve">El Gerente consulta y revisa el detalle integral de la Rendición.</t>
  </si>
  <si>
    <t xml:space="preserve">El Gerente excluye o reactiva Viáticos y, cuando corresponde, ajusta el anticipo.</t>
  </si>
  <si>
    <t xml:space="preserve">El Gerente aprueba o cancela la Rendición.</t>
  </si>
  <si>
    <t xml:space="preserve">El sistema registra la auditoría, actualiza el estado y calcula el saldo final.</t>
  </si>
  <si>
    <t xml:space="preserve">Factores técnicos — Technical Complexity Factor (TCF)</t>
  </si>
  <si>
    <t xml:space="preserve">ID</t>
  </si>
  <si>
    <t xml:space="preserve">Factor</t>
  </si>
  <si>
    <t xml:space="preserve">Valor (0-5)</t>
  </si>
  <si>
    <t xml:space="preserve">Justificación SIGEVIP</t>
  </si>
  <si>
    <t xml:space="preserve">Ponderado</t>
  </si>
  <si>
    <t xml:space="preserve">T1</t>
  </si>
  <si>
    <t xml:space="preserve">Sistema distribuido</t>
  </si>
  <si>
    <t xml:space="preserve">Aplicación de escritorio y base local.</t>
  </si>
  <si>
    <t xml:space="preserve">T2</t>
  </si>
  <si>
    <t xml:space="preserve">Objetivos de tiempo de respuesta</t>
  </si>
  <si>
    <t xml:space="preserve">Se requiere respuesta fluida, sin SLA estricto.</t>
  </si>
  <si>
    <t xml:space="preserve">T3</t>
  </si>
  <si>
    <t xml:space="preserve">Eficiencia del usuario final</t>
  </si>
  <si>
    <t xml:space="preserve">Operaciones frecuentes y formularios orientados a tarea.</t>
  </si>
  <si>
    <t xml:space="preserve">T4</t>
  </si>
  <si>
    <t xml:space="preserve">Procesamiento interno complejo</t>
  </si>
  <si>
    <t xml:space="preserve">Estados, reglas, transacciones y cálculos de saldo.</t>
  </si>
  <si>
    <t xml:space="preserve">T5</t>
  </si>
  <si>
    <t xml:space="preserve">Código reutilizable</t>
  </si>
  <si>
    <t xml:space="preserve">Arquitectura por capas, servicios y repositorios reutilizables.</t>
  </si>
  <si>
    <t xml:space="preserve">T6</t>
  </si>
  <si>
    <t xml:space="preserve">Facilidad de instalación</t>
  </si>
  <si>
    <t xml:space="preserve">Requiere .NET Framework y SQL Server configurado.</t>
  </si>
  <si>
    <t xml:space="preserve">T7</t>
  </si>
  <si>
    <t xml:space="preserve">Facilidad de uso</t>
  </si>
  <si>
    <t xml:space="preserve">WinForms, permisos visuales y validaciones.</t>
  </si>
  <si>
    <t xml:space="preserve">T8</t>
  </si>
  <si>
    <t xml:space="preserve">Portabilidad</t>
  </si>
  <si>
    <t xml:space="preserve">Limitado a Windows y SQL Server.</t>
  </si>
  <si>
    <t xml:space="preserve">T9</t>
  </si>
  <si>
    <t xml:space="preserve">Facilidad de cambio</t>
  </si>
  <si>
    <t xml:space="preserve">Separación por capas y pruebas de regresión.</t>
  </si>
  <si>
    <t xml:space="preserve">T10</t>
  </si>
  <si>
    <t xml:space="preserve">Concurrencia</t>
  </si>
  <si>
    <t xml:space="preserve">Aplicación monousuario.</t>
  </si>
  <si>
    <t xml:space="preserve">T11</t>
  </si>
  <si>
    <t xml:space="preserve">Características especiales de seguridad</t>
  </si>
  <si>
    <t xml:space="preserve">Autenticación, PBKDF2, grupos, permisos y auditoría.</t>
  </si>
  <si>
    <t xml:space="preserve">T12</t>
  </si>
  <si>
    <t xml:space="preserve">Acceso directo de terceros</t>
  </si>
  <si>
    <t xml:space="preserve">Sin integraciones externas en el MVP.</t>
  </si>
  <si>
    <t xml:space="preserve">T13</t>
  </si>
  <si>
    <t xml:space="preserve">Capacitación especial del usuario</t>
  </si>
  <si>
    <t xml:space="preserve">Requiere instrucción operativa breve.</t>
  </si>
  <si>
    <t xml:space="preserve">TCF = 0,6 + 0,01 × suma ponderada</t>
  </si>
  <si>
    <t xml:space="preserve">Factores ambientales — Environmental Complexity Factor (ECF)</t>
  </si>
  <si>
    <t xml:space="preserve">E1</t>
  </si>
  <si>
    <t xml:space="preserve">Familiaridad con el proceso de desarrollo</t>
  </si>
  <si>
    <t xml:space="preserve">Proyecto universitario; experiencia en crecimiento.</t>
  </si>
  <si>
    <t xml:space="preserve">E2</t>
  </si>
  <si>
    <t xml:space="preserve">Experiencia en la aplicación o dominio</t>
  </si>
  <si>
    <t xml:space="preserve">Conocimiento funcional del negocio agrocomercial.</t>
  </si>
  <si>
    <t xml:space="preserve">E3</t>
  </si>
  <si>
    <t xml:space="preserve">Experiencia en orientación a objetos</t>
  </si>
  <si>
    <t xml:space="preserve">Uso de C#, SOLID simplificado y patrones.</t>
  </si>
  <si>
    <t xml:space="preserve">E4</t>
  </si>
  <si>
    <t xml:space="preserve">Capacidad del analista líder</t>
  </si>
  <si>
    <t xml:space="preserve">Un único responsable de análisis, desarrollo y documentación.</t>
  </si>
  <si>
    <t xml:space="preserve">E5</t>
  </si>
  <si>
    <t xml:space="preserve">Motivación</t>
  </si>
  <si>
    <t xml:space="preserve">Proyecto académico prioritario y con objetivo de defensa.</t>
  </si>
  <si>
    <t xml:space="preserve">E6</t>
  </si>
  <si>
    <t xml:space="preserve">Estabilidad de requisitos</t>
  </si>
  <si>
    <t xml:space="preserve">Existieron contradicciones y ajustes durante el desarrollo.</t>
  </si>
  <si>
    <t xml:space="preserve">E7</t>
  </si>
  <si>
    <t xml:space="preserve">Personal de tiempo parcial</t>
  </si>
  <si>
    <t xml:space="preserve">Desarrollo realizado fuera del horario principal.</t>
  </si>
  <si>
    <t xml:space="preserve">E8</t>
  </si>
  <si>
    <t xml:space="preserve">Dificultad del lenguaje</t>
  </si>
  <si>
    <t xml:space="preserve">C# y .NET Framework conocidos, con complejidad moderada.</t>
  </si>
  <si>
    <t xml:space="preserve">ECF = 1,4 - 0,03 × suma ponderada</t>
  </si>
  <si>
    <t xml:space="preserve">Resultado, estimación de esfuerzo y distribución</t>
  </si>
  <si>
    <t xml:space="preserve">Concepto</t>
  </si>
  <si>
    <t xml:space="preserve">Valor</t>
  </si>
  <si>
    <t xml:space="preserve">UAW — Peso de actores</t>
  </si>
  <si>
    <t xml:space="preserve">UUCW — Peso de casos de uso</t>
  </si>
  <si>
    <t xml:space="preserve">UUCP — Puntos no ajustados</t>
  </si>
  <si>
    <t xml:space="preserve">TCF — Factor técnico</t>
  </si>
  <si>
    <t xml:space="preserve">ECF — Factor ambiental</t>
  </si>
  <si>
    <t xml:space="preserve">UCP — Puntos de casos de uso</t>
  </si>
  <si>
    <t xml:space="preserve">Esfuerzo (h)</t>
  </si>
  <si>
    <t xml:space="preserve">Semanas a 20 h</t>
  </si>
  <si>
    <t xml:space="preserve">Semanas a 40 h</t>
  </si>
  <si>
    <t xml:space="preserve">Uso recomendado</t>
  </si>
  <si>
    <t xml:space="preserve">Alcance estable y alto reuso.</t>
  </si>
  <si>
    <t xml:space="preserve">Valor principal para el cronograma académico.</t>
  </si>
  <si>
    <t xml:space="preserve">Mayor retrabajo y documentación.</t>
  </si>
  <si>
    <t xml:space="preserve">Referencia metodológica; no calibrada con datos propios.</t>
  </si>
  <si>
    <t xml:space="preserve">Fase / hito</t>
  </si>
  <si>
    <t xml:space="preserve">% del esfuerzo</t>
  </si>
  <si>
    <t xml:space="preserve">Horas probables</t>
  </si>
  <si>
    <t xml:space="preserve">Semana inicio</t>
  </si>
  <si>
    <t xml:space="preserve">Semana fin</t>
  </si>
  <si>
    <t xml:space="preserve">Análisis y alcance</t>
  </si>
  <si>
    <t xml:space="preserve">Diseño de dominio, contratos e interfaz</t>
  </si>
  <si>
    <t xml:space="preserve">Implementación Domain y Application</t>
  </si>
  <si>
    <t xml:space="preserve">Persistencia y transacciones SQL</t>
  </si>
  <si>
    <t xml:space="preserve">Interfaz WinForms e integración</t>
  </si>
  <si>
    <t xml:space="preserve">Pruebas, correcciones y validación</t>
  </si>
  <si>
    <t xml:space="preserve">Documentación y cierre</t>
  </si>
  <si>
    <t xml:space="preserve">TOTAL</t>
  </si>
  <si>
    <t xml:space="preserve">Distribución temporal de la estimación probable</t>
  </si>
  <si>
    <t xml:space="preserve">Hito</t>
  </si>
  <si>
    <t xml:space="preserve">%</t>
  </si>
  <si>
    <t xml:space="preserve">Horas estimadas</t>
  </si>
  <si>
    <t xml:space="preserve">Entregable</t>
  </si>
  <si>
    <t xml:space="preserve">Evidencia</t>
  </si>
  <si>
    <t xml:space="preserve">Requisitos y reglas consolidadas</t>
  </si>
  <si>
    <t xml:space="preserve">RF20–RF32 y alcance UCP</t>
  </si>
  <si>
    <t xml:space="preserve">Diseño</t>
  </si>
  <si>
    <t xml:space="preserve">Modelo, contratos, SQL e interfaz</t>
  </si>
  <si>
    <t xml:space="preserve">Diagramas y decisiones</t>
  </si>
  <si>
    <t xml:space="preserve">Domain y Application</t>
  </si>
  <si>
    <t xml:space="preserve">Entidades, servicios y autorización</t>
  </si>
  <si>
    <t xml:space="preserve">Código y pruebas unitarias</t>
  </si>
  <si>
    <t xml:space="preserve">Persistencia</t>
  </si>
  <si>
    <t xml:space="preserve">Migración y repositorios ADO.NET</t>
  </si>
  <si>
    <t xml:space="preserve">Pruebas de integración</t>
  </si>
  <si>
    <t xml:space="preserve">WinForms e integración</t>
  </si>
  <si>
    <t xml:space="preserve">Formularios y navegación</t>
  </si>
  <si>
    <t xml:space="preserve">Validación funcional</t>
  </si>
  <si>
    <t xml:space="preserve">Pruebas y correcciones</t>
  </si>
  <si>
    <t xml:space="preserve">Regresión y correcciones</t>
  </si>
  <si>
    <t xml:space="preserve">Resultado VSTest</t>
  </si>
  <si>
    <t xml:space="preserve">Trazabilidad e instructivo</t>
  </si>
  <si>
    <t xml:space="preserve">Commit de cierre</t>
  </si>
  <si>
    <t xml:space="preserve">Fuentes y trazabilidad de la estimación</t>
  </si>
  <si>
    <t xml:space="preserve">Fuente</t>
  </si>
  <si>
    <t xml:space="preserve">Ubicación / referencia</t>
  </si>
  <si>
    <t xml:space="preserve">Uso en la métrica</t>
  </si>
  <si>
    <t xml:space="preserve">Consigna de evaluación</t>
  </si>
  <si>
    <t xml:space="preserve">Evaluación Parcial N° I - Práctica (1).pdf</t>
  </si>
  <si>
    <t xml:space="preserve">Exige al menos una métrica, proceso de conteo, alcance y estimación temporal.</t>
  </si>
  <si>
    <t xml:space="preserve">Fuente académica principal de la exigencia.</t>
  </si>
  <si>
    <t xml:space="preserve">Trabajo de Diploma</t>
  </si>
  <si>
    <t xml:space="preserve">Trabajo de Diploma Completo.docx — RF20 a RF32</t>
  </si>
  <si>
    <t xml:space="preserve">Define el requerimiento core, actores, flujo y validaciones.</t>
  </si>
  <si>
    <t xml:space="preserve">La medición se limita a esta funcionalidad.</t>
  </si>
  <si>
    <t xml:space="preserve">Documento técnico</t>
  </si>
  <si>
    <t xml:space="preserve">docs/15-modulo-viaticos-rendiciones.md</t>
  </si>
  <si>
    <t xml:space="preserve">Confirma alcance implementado, reglas, capas y operaciones.</t>
  </si>
  <si>
    <t xml:space="preserve">Evidencia técnica.</t>
  </si>
  <si>
    <t xml:space="preserve">Documento de pruebas</t>
  </si>
  <si>
    <t xml:space="preserve">docs/16-pruebas-viaticos-rendiciones.md</t>
  </si>
  <si>
    <t xml:space="preserve">Confirma actividades de prueba y validación incluidas en el esfuerzo.</t>
  </si>
  <si>
    <t xml:space="preserve">Evidencia de calidad.</t>
  </si>
  <si>
    <t xml:space="preserve">Git</t>
  </si>
  <si>
    <t xml:space="preserve">Commit 61924b7 — Actualizo documentación transversal de viáticos</t>
  </si>
  <si>
    <t xml:space="preserve">Cierre técnico del módulo medido.</t>
  </si>
  <si>
    <t xml:space="preserve">Referencia histórica.</t>
  </si>
  <si>
    <t xml:space="preserve">Commit 5c16c08 — Completo auditoría transaccional de rendiciones</t>
  </si>
  <si>
    <t xml:space="preserve">Línea base actual del proyecto.</t>
  </si>
  <si>
    <t xml:space="preserve">No forma parte del alcance estimado, salvo integración previa.</t>
  </si>
  <si>
    <t xml:space="preserve">Método</t>
  </si>
  <si>
    <t xml:space="preserve">Use Case Points (Karner)</t>
  </si>
  <si>
    <t xml:space="preserve">Pesos de actores, casos de uso y fórmulas TCF/ECF.</t>
  </si>
  <si>
    <t xml:space="preserve">Valores editables y auditables en la planilla.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</si>
</sst>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&quot; horas&quot;"/>
    <numFmt numFmtId="167" formatCode="0.000"/>
    <numFmt numFmtId="168" formatCode="0%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sz val="10"/>
      <color rgb="FF1F2937"/>
      <name val="Calibri"/>
      <family val="0"/>
      <charset val="1"/>
    </font>
    <font>
      <b val="true"/>
      <sz val="10"/>
      <color rgb="FF1F2937"/>
      <name val="Calibri"/>
      <family val="0"/>
      <charset val="1"/>
    </font>
    <font>
      <i val="true"/>
      <sz val="10"/>
      <color rgb="FF1F2937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2F75B5"/>
        <bgColor rgb="FF156082"/>
      </patternFill>
    </fill>
    <fill>
      <patternFill patternType="solid">
        <fgColor rgb="FFE2F0D9"/>
        <bgColor rgb="FFD9EAF7"/>
      </patternFill>
    </fill>
    <fill>
      <patternFill patternType="solid">
        <fgColor rgb="FFF2F2F2"/>
        <bgColor rgb="FFE2F0D9"/>
      </patternFill>
    </fill>
    <fill>
      <patternFill patternType="solid">
        <fgColor rgb="FFFFF2CC"/>
        <bgColor rgb="FFF2F2F2"/>
      </patternFill>
    </fill>
    <fill>
      <patternFill patternType="solid">
        <fgColor rgb="FFD9EAF7"/>
        <bgColor rgb="FFE2F0D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6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6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4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CCCCC"/>
      <rgbColor rgb="FF8B8B8B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E97132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  <a:ea typeface="Calibri"/>
              </a:rPr>
              <a:t>Esfuerzo por escenario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"Horas/UCP"</c:f>
              <c:strCache>
                <c:ptCount val="1"/>
                <c:pt idx="0">
                  <c:v>Horas/UCP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Resumen!$A$10:$A$13</c:f>
              <c:strCache>
                <c:ptCount val="4"/>
                <c:pt idx="0">
                  <c:v>Optimista</c:v>
                </c:pt>
                <c:pt idx="1">
                  <c:v>Probable</c:v>
                </c:pt>
                <c:pt idx="2">
                  <c:v>Conservador</c:v>
                </c:pt>
                <c:pt idx="3">
                  <c:v>Referencia clásica</c:v>
                </c:pt>
              </c:strCache>
            </c:strRef>
          </c:cat>
          <c:val>
            <c:numRef>
              <c:f>Resumen!$B$10:$B$13</c:f>
              <c:numCache>
                <c:formatCode>0.00</c:formatCode>
                <c:ptCount val="4"/>
                <c:pt idx="0">
                  <c:v>8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val>
        </c:ser>
        <c:ser>
          <c:idx val="1"/>
          <c:order val="1"/>
          <c:tx>
            <c:strRef>
              <c:f>"Esfuerzo estimado"</c:f>
              <c:strCache>
                <c:ptCount val="1"/>
                <c:pt idx="0">
                  <c:v>Esfuerzo estimado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Resumen!$A$10:$A$13</c:f>
              <c:strCache>
                <c:ptCount val="4"/>
                <c:pt idx="0">
                  <c:v>Optimista</c:v>
                </c:pt>
                <c:pt idx="1">
                  <c:v>Probable</c:v>
                </c:pt>
                <c:pt idx="2">
                  <c:v>Conservador</c:v>
                </c:pt>
                <c:pt idx="3">
                  <c:v>Referencia clásica</c:v>
                </c:pt>
              </c:strCache>
            </c:strRef>
          </c:cat>
          <c:val>
            <c:numRef>
              <c:f>Resumen!$C$10:$C$13</c:f>
              <c:numCache>
                <c:formatCode>0.00</c:formatCode>
                <c:ptCount val="4"/>
                <c:pt idx="0">
                  <c:v>22.8552</c:v>
                </c:pt>
                <c:pt idx="1">
                  <c:v>28.569</c:v>
                </c:pt>
                <c:pt idx="2">
                  <c:v>42.8535</c:v>
                </c:pt>
                <c:pt idx="3">
                  <c:v>57.138</c:v>
                </c:pt>
              </c:numCache>
            </c:numRef>
          </c:val>
        </c:ser>
        <c:gapWidth val="150"/>
        <c:overlap val="0"/>
        <c:axId val="37328366"/>
        <c:axId val="78495671"/>
      </c:barChart>
      <c:catAx>
        <c:axId val="3732836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8495671"/>
        <c:crosses val="autoZero"/>
        <c:auto val="1"/>
        <c:lblAlgn val="ctr"/>
        <c:lblOffset val="100"/>
        <c:noMultiLvlLbl val="0"/>
      </c:catAx>
      <c:valAx>
        <c:axId val="7849567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73283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8</xdr:row>
      <xdr:rowOff>0</xdr:rowOff>
    </xdr:from>
    <xdr:to>
      <xdr:col>12</xdr:col>
      <xdr:colOff>601560</xdr:colOff>
      <xdr:row>22</xdr:row>
      <xdr:rowOff>190440</xdr:rowOff>
    </xdr:to>
    <xdr:graphicFrame>
      <xdr:nvGraphicFramePr>
        <xdr:cNvPr id="0" name="Chart"/>
        <xdr:cNvGraphicFramePr/>
      </xdr:nvGraphicFramePr>
      <xdr:xfrm>
        <a:off x="6061680" y="3596760"/>
        <a:ext cx="6251760" cy="511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20"/>
  </cols>
  <sheetData>
    <row r="1" customFormat="false" ht="19.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9.2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26.4" hidden="false" customHeight="true" outlineLevel="0" collapsed="false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true" outlineLevel="0" collapsed="false">
      <c r="A5" s="2" t="s">
        <v>9</v>
      </c>
      <c r="B5" s="4" t="n">
        <f aca="false">Actores!G6</f>
        <v>3</v>
      </c>
      <c r="C5" s="4" t="n">
        <f aca="false">Casos_Uso!H9</f>
        <v>0</v>
      </c>
      <c r="D5" s="4" t="n">
        <f aca="false">B5+C5</f>
        <v>3</v>
      </c>
      <c r="E5" s="4" t="n">
        <f aca="false">Factores_Tecnicos!F18</f>
        <v>0.89</v>
      </c>
      <c r="F5" s="4" t="n">
        <f aca="false">Factores_Ambientales!F13</f>
        <v>1.07</v>
      </c>
      <c r="G5" s="4" t="n">
        <f aca="false">D5*E5*F5</f>
        <v>2.8569</v>
      </c>
      <c r="H5" s="5" t="str">
        <f aca="false">Resultado!C12</f>
        <v>Esfuerzo (h)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8.4" hidden="false" customHeight="true" outlineLevel="0" collapsed="false">
      <c r="A7" s="6" t="s">
        <v>10</v>
      </c>
      <c r="B7" s="6"/>
      <c r="C7" s="6"/>
      <c r="D7" s="6"/>
      <c r="E7" s="6"/>
      <c r="F7" s="6"/>
      <c r="G7" s="6"/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39.6" hidden="false" customHeight="true" outlineLevel="0" collapsed="false">
      <c r="A9" s="7" t="s">
        <v>11</v>
      </c>
      <c r="B9" s="7" t="s">
        <v>12</v>
      </c>
      <c r="C9" s="7" t="s">
        <v>13</v>
      </c>
      <c r="D9" s="7" t="s">
        <v>14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true" outlineLevel="0" collapsed="false">
      <c r="A10" s="8" t="s">
        <v>15</v>
      </c>
      <c r="B10" s="9" t="n">
        <v>8</v>
      </c>
      <c r="C10" s="10" t="n">
        <f aca="false">$G$5*B10</f>
        <v>22.8552</v>
      </c>
      <c r="D10" s="10" t="n">
        <f aca="false">C10/20</f>
        <v>1.14276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true" outlineLevel="0" collapsed="false">
      <c r="A11" s="8" t="s">
        <v>16</v>
      </c>
      <c r="B11" s="9" t="n">
        <v>10</v>
      </c>
      <c r="C11" s="10" t="n">
        <f aca="false">$G$5*B11</f>
        <v>28.569</v>
      </c>
      <c r="D11" s="10" t="n">
        <f aca="false">C11/20</f>
        <v>1.42845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6.4" hidden="false" customHeight="true" outlineLevel="0" collapsed="false">
      <c r="A12" s="8" t="s">
        <v>17</v>
      </c>
      <c r="B12" s="9" t="n">
        <v>15</v>
      </c>
      <c r="C12" s="10" t="n">
        <f aca="false">$G$5*B12</f>
        <v>42.8535</v>
      </c>
      <c r="D12" s="10" t="n">
        <f aca="false">C12/20</f>
        <v>2.142675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26.4" hidden="false" customHeight="true" outlineLevel="0" collapsed="false">
      <c r="A13" s="8" t="s">
        <v>18</v>
      </c>
      <c r="B13" s="9" t="n">
        <v>20</v>
      </c>
      <c r="C13" s="10" t="n">
        <f aca="false">$G$5*B13</f>
        <v>57.138</v>
      </c>
      <c r="D13" s="10" t="n">
        <f aca="false">C13/20</f>
        <v>2.8569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45.2" hidden="false" customHeight="true" outlineLevel="0" collapsed="false">
      <c r="A15" s="6" t="s">
        <v>19</v>
      </c>
      <c r="B15" s="6"/>
      <c r="C15" s="6"/>
      <c r="D15" s="6"/>
      <c r="E15" s="6"/>
      <c r="F15" s="6"/>
      <c r="G15" s="6"/>
      <c r="H15" s="6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</sheetData>
  <mergeCells count="3">
    <mergeCell ref="A1:H2"/>
    <mergeCell ref="A7:H7"/>
    <mergeCell ref="A15:H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5"/>
  </cols>
  <sheetData>
    <row r="1" customFormat="false" ht="15" hidden="false" customHeight="false" outlineLevel="0" collapsed="false">
      <c r="A1" s="1" t="s">
        <v>20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7" t="s">
        <v>21</v>
      </c>
      <c r="B4" s="7" t="s">
        <v>22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11" t="s">
        <v>23</v>
      </c>
      <c r="B5" s="8" t="s">
        <v>24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11" t="s">
        <v>25</v>
      </c>
      <c r="B6" s="8" t="s">
        <v>26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11" t="s">
        <v>27</v>
      </c>
      <c r="B7" s="8" t="s">
        <v>28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11" t="s">
        <v>29</v>
      </c>
      <c r="B8" s="8" t="s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11" t="s">
        <v>31</v>
      </c>
      <c r="B9" s="8" t="s">
        <v>32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11" t="s">
        <v>33</v>
      </c>
      <c r="B10" s="8" t="s">
        <v>34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11" t="s">
        <v>35</v>
      </c>
      <c r="B11" s="8" t="s">
        <v>36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1.65" hidden="false" customHeight="false" outlineLevel="0" collapsed="false">
      <c r="A12" s="11" t="s">
        <v>37</v>
      </c>
      <c r="B12" s="8" t="s">
        <v>38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11" t="s">
        <v>39</v>
      </c>
      <c r="B13" s="8" t="s">
        <v>40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</sheetData>
  <mergeCells count="1">
    <mergeCell ref="A1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45"/>
  </cols>
  <sheetData>
    <row r="1" customFormat="false" ht="15" hidden="false" customHeight="fals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7" t="s">
        <v>42</v>
      </c>
      <c r="B4" s="7" t="s">
        <v>43</v>
      </c>
      <c r="C4" s="7" t="s">
        <v>44</v>
      </c>
      <c r="D4" s="7" t="s">
        <v>45</v>
      </c>
      <c r="E4" s="7" t="s">
        <v>46</v>
      </c>
      <c r="F4" s="7" t="s">
        <v>47</v>
      </c>
      <c r="G4" s="7" t="s">
        <v>48</v>
      </c>
      <c r="H4" s="7" t="s">
        <v>49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8" t="s">
        <v>50</v>
      </c>
      <c r="B5" s="8" t="s">
        <v>51</v>
      </c>
      <c r="C5" s="8" t="s">
        <v>52</v>
      </c>
      <c r="D5" s="8" t="s">
        <v>53</v>
      </c>
      <c r="E5" s="8" t="n">
        <v>3</v>
      </c>
      <c r="F5" s="12" t="n">
        <v>1</v>
      </c>
      <c r="G5" s="13" t="n">
        <f aca="false">E5*F5</f>
        <v>3</v>
      </c>
      <c r="H5" s="8" t="s">
        <v>54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1.65" hidden="false" customHeight="false" outlineLevel="0" collapsed="false">
      <c r="A6" s="8" t="s">
        <v>55</v>
      </c>
      <c r="B6" s="8" t="s">
        <v>56</v>
      </c>
      <c r="C6" s="8" t="s">
        <v>57</v>
      </c>
      <c r="D6" s="8" t="s">
        <v>53</v>
      </c>
      <c r="E6" s="8" t="n">
        <v>3</v>
      </c>
      <c r="F6" s="12" t="n">
        <v>1</v>
      </c>
      <c r="G6" s="13" t="n">
        <f aca="false">E6*F6</f>
        <v>3</v>
      </c>
      <c r="H6" s="8" t="s">
        <v>54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true" outlineLevel="0" collapsed="false">
      <c r="A7" s="13" t="s">
        <v>58</v>
      </c>
      <c r="B7" s="13"/>
      <c r="C7" s="13"/>
      <c r="D7" s="13"/>
      <c r="E7" s="13"/>
      <c r="F7" s="13"/>
      <c r="G7" s="13" t="n">
        <f aca="false">SUM(G5:G6)</f>
        <v>6</v>
      </c>
      <c r="H7" s="8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</sheetData>
  <mergeCells count="2">
    <mergeCell ref="A1:H2"/>
    <mergeCell ref="A7:F7"/>
  </mergeCells>
  <dataValidations count="1">
    <dataValidation allowBlank="false" errorStyle="stop" operator="between" showDropDown="false" showErrorMessage="false" showInputMessage="false" sqref="D5:D6" type="list">
      <formula1>"Simple,Medio,Complejo"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4" min="3" style="0" width="14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56"/>
  </cols>
  <sheetData>
    <row r="1" customFormat="false" ht="15" hidden="false" customHeight="false" outlineLevel="0" collapsed="false">
      <c r="A1" s="1" t="s">
        <v>59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7" t="s">
        <v>42</v>
      </c>
      <c r="B4" s="7" t="s">
        <v>60</v>
      </c>
      <c r="C4" s="7" t="s">
        <v>61</v>
      </c>
      <c r="D4" s="7" t="s">
        <v>62</v>
      </c>
      <c r="E4" s="7" t="s">
        <v>46</v>
      </c>
      <c r="F4" s="7" t="s">
        <v>47</v>
      </c>
      <c r="G4" s="7" t="s">
        <v>63</v>
      </c>
      <c r="H4" s="7" t="s">
        <v>48</v>
      </c>
      <c r="I4" s="7" t="s">
        <v>64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8" t="s">
        <v>65</v>
      </c>
      <c r="B5" s="8" t="s">
        <v>66</v>
      </c>
      <c r="C5" s="12" t="n">
        <v>13</v>
      </c>
      <c r="D5" s="13" t="str">
        <f aca="false">IF(C5&lt;=3,"Simple",IF(C5&lt;=7,"Media","Compleja"))</f>
        <v>Compleja</v>
      </c>
      <c r="E5" s="13" t="n">
        <f aca="false">IF(C5&lt;=3,5,IF(C5&lt;=7,10,15))</f>
        <v>15</v>
      </c>
      <c r="F5" s="12" t="n">
        <v>1</v>
      </c>
      <c r="G5" s="12" t="n">
        <v>1</v>
      </c>
      <c r="H5" s="13" t="n">
        <f aca="false">E5*F5*G5</f>
        <v>15</v>
      </c>
      <c r="I5" s="8" t="s">
        <v>67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1.65" hidden="false" customHeight="false" outlineLevel="0" collapsed="false">
      <c r="A6" s="8" t="s">
        <v>68</v>
      </c>
      <c r="B6" s="8" t="s">
        <v>69</v>
      </c>
      <c r="C6" s="12" t="n">
        <v>7</v>
      </c>
      <c r="D6" s="13" t="str">
        <f aca="false">IF(C6&lt;=3,"Simple",IF(C6&lt;=7,"Media","Compleja"))</f>
        <v>Media</v>
      </c>
      <c r="E6" s="13" t="n">
        <f aca="false">IF(C6&lt;=3,5,IF(C6&lt;=7,10,15))</f>
        <v>10</v>
      </c>
      <c r="F6" s="12" t="n">
        <v>1</v>
      </c>
      <c r="G6" s="12" t="n">
        <v>0</v>
      </c>
      <c r="H6" s="13" t="n">
        <f aca="false">E6*F6*G6</f>
        <v>0</v>
      </c>
      <c r="I6" s="8" t="s">
        <v>70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8" t="s">
        <v>71</v>
      </c>
      <c r="B7" s="8" t="s">
        <v>72</v>
      </c>
      <c r="C7" s="12" t="n">
        <v>4</v>
      </c>
      <c r="D7" s="13" t="str">
        <f aca="false">IF(C7&lt;=3,"Simple",IF(C7&lt;=7,"Media","Compleja"))</f>
        <v>Media</v>
      </c>
      <c r="E7" s="13" t="n">
        <f aca="false">IF(C7&lt;=3,5,IF(C7&lt;=7,10,15))</f>
        <v>10</v>
      </c>
      <c r="F7" s="12" t="n">
        <v>1</v>
      </c>
      <c r="G7" s="12" t="n">
        <v>0</v>
      </c>
      <c r="H7" s="13" t="n">
        <f aca="false">E7*F7*G7</f>
        <v>0</v>
      </c>
      <c r="I7" s="8" t="s">
        <v>73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8" t="s">
        <v>74</v>
      </c>
      <c r="B8" s="8" t="s">
        <v>75</v>
      </c>
      <c r="C8" s="12" t="n">
        <v>7</v>
      </c>
      <c r="D8" s="13" t="str">
        <f aca="false">IF(C8&lt;=3,"Simple",IF(C8&lt;=7,"Media","Compleja"))</f>
        <v>Media</v>
      </c>
      <c r="E8" s="13" t="n">
        <f aca="false">IF(C8&lt;=3,5,IF(C8&lt;=7,10,15))</f>
        <v>10</v>
      </c>
      <c r="F8" s="12" t="n">
        <v>1</v>
      </c>
      <c r="G8" s="12" t="n">
        <v>0</v>
      </c>
      <c r="H8" s="13" t="n">
        <f aca="false">E8*F8*G8</f>
        <v>0</v>
      </c>
      <c r="I8" s="8" t="s">
        <v>73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8" t="s">
        <v>76</v>
      </c>
      <c r="B9" s="8" t="s">
        <v>77</v>
      </c>
      <c r="C9" s="12" t="n">
        <v>5</v>
      </c>
      <c r="D9" s="13" t="str">
        <f aca="false">IF(C9&lt;=3,"Simple",IF(C9&lt;=7,"Media","Compleja"))</f>
        <v>Media</v>
      </c>
      <c r="E9" s="13" t="n">
        <f aca="false">IF(C9&lt;=3,5,IF(C9&lt;=7,10,15))</f>
        <v>10</v>
      </c>
      <c r="F9" s="12" t="n">
        <v>1</v>
      </c>
      <c r="G9" s="12" t="n">
        <v>0</v>
      </c>
      <c r="H9" s="13" t="n">
        <f aca="false">E9*F9*G9</f>
        <v>0</v>
      </c>
      <c r="I9" s="8" t="s">
        <v>73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true" outlineLevel="0" collapsed="false">
      <c r="A10" s="13" t="s">
        <v>78</v>
      </c>
      <c r="B10" s="13"/>
      <c r="C10" s="13"/>
      <c r="D10" s="13"/>
      <c r="E10" s="13"/>
      <c r="F10" s="13"/>
      <c r="G10" s="13"/>
      <c r="H10" s="13" t="n">
        <f aca="false">SUM(H5:H9)</f>
        <v>15</v>
      </c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14" t="s">
        <v>79</v>
      </c>
      <c r="B13" s="14" t="s">
        <v>80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14" t="n">
        <v>1</v>
      </c>
      <c r="B14" s="14" t="s">
        <v>81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14" t="n">
        <v>2</v>
      </c>
      <c r="B15" s="14" t="s">
        <v>82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14" t="n">
        <v>3</v>
      </c>
      <c r="B16" s="14" t="s">
        <v>83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14" t="n">
        <v>4</v>
      </c>
      <c r="B17" s="14" t="s">
        <v>84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14" t="n">
        <v>5</v>
      </c>
      <c r="B18" s="14" t="s">
        <v>85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14" t="n">
        <v>6</v>
      </c>
      <c r="B19" s="14" t="s">
        <v>86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14" t="n">
        <v>7</v>
      </c>
      <c r="B20" s="14" t="s">
        <v>87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14" t="n">
        <v>8</v>
      </c>
      <c r="B21" s="14" t="s">
        <v>88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14" t="n">
        <v>9</v>
      </c>
      <c r="B22" s="14" t="s">
        <v>89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14" t="n">
        <v>10</v>
      </c>
      <c r="B23" s="14" t="s">
        <v>90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14" t="n">
        <v>11</v>
      </c>
      <c r="B24" s="14" t="s">
        <v>91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14" t="n">
        <v>12</v>
      </c>
      <c r="B25" s="14" t="s">
        <v>92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14" t="n">
        <v>13</v>
      </c>
      <c r="B26" s="14" t="s">
        <v>93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</sheetData>
  <mergeCells count="2">
    <mergeCell ref="A1:I2"/>
    <mergeCell ref="A10:G10"/>
  </mergeCells>
  <dataValidations count="1">
    <dataValidation allowBlank="false" errorStyle="stop" operator="between" showDropDown="false" showErrorMessage="false" showInputMessage="false" sqref="G5:G9" type="list">
      <formula1>"0,1"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8" activeCellId="0" sqref="A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59.63"/>
  </cols>
  <sheetData>
    <row r="1" customFormat="false" ht="12.8" hidden="false" customHeight="false" outlineLevel="0" collapsed="false">
      <c r="A1" s="7" t="s">
        <v>79</v>
      </c>
      <c r="B1" s="7" t="s">
        <v>80</v>
      </c>
    </row>
    <row r="2" customFormat="false" ht="12.8" hidden="false" customHeight="false" outlineLevel="0" collapsed="false">
      <c r="A2" s="8" t="n">
        <v>1</v>
      </c>
      <c r="B2" s="8" t="s">
        <v>81</v>
      </c>
    </row>
    <row r="3" customFormat="false" ht="12.8" hidden="false" customHeight="false" outlineLevel="0" collapsed="false">
      <c r="A3" s="8" t="n">
        <v>2</v>
      </c>
      <c r="B3" s="8" t="s">
        <v>82</v>
      </c>
    </row>
    <row r="4" customFormat="false" ht="12.8" hidden="false" customHeight="false" outlineLevel="0" collapsed="false">
      <c r="A4" s="8" t="n">
        <v>3</v>
      </c>
      <c r="B4" s="8" t="s">
        <v>83</v>
      </c>
    </row>
    <row r="5" customFormat="false" ht="12.8" hidden="false" customHeight="false" outlineLevel="0" collapsed="false">
      <c r="A5" s="8" t="n">
        <v>4</v>
      </c>
      <c r="B5" s="8" t="s">
        <v>84</v>
      </c>
    </row>
    <row r="6" customFormat="false" ht="12.8" hidden="false" customHeight="false" outlineLevel="0" collapsed="false">
      <c r="A6" s="8" t="n">
        <v>5</v>
      </c>
      <c r="B6" s="8" t="s">
        <v>85</v>
      </c>
    </row>
    <row r="7" customFormat="false" ht="12.8" hidden="false" customHeight="false" outlineLevel="0" collapsed="false">
      <c r="A7" s="8" t="n">
        <v>6</v>
      </c>
      <c r="B7" s="8" t="s">
        <v>86</v>
      </c>
    </row>
    <row r="8" customFormat="false" ht="12.8" hidden="false" customHeight="false" outlineLevel="0" collapsed="false">
      <c r="A8" s="8" t="n">
        <v>7</v>
      </c>
      <c r="B8" s="8" t="s">
        <v>87</v>
      </c>
    </row>
    <row r="9" customFormat="false" ht="12.8" hidden="false" customHeight="false" outlineLevel="0" collapsed="false">
      <c r="A9" s="8" t="n">
        <v>8</v>
      </c>
      <c r="B9" s="8" t="s">
        <v>88</v>
      </c>
    </row>
    <row r="10" customFormat="false" ht="12.8" hidden="false" customHeight="false" outlineLevel="0" collapsed="false">
      <c r="A10" s="8" t="n">
        <v>9</v>
      </c>
      <c r="B10" s="8" t="s">
        <v>89</v>
      </c>
    </row>
    <row r="11" customFormat="false" ht="12.8" hidden="false" customHeight="false" outlineLevel="0" collapsed="false">
      <c r="A11" s="8" t="n">
        <v>10</v>
      </c>
      <c r="B11" s="8" t="s">
        <v>90</v>
      </c>
    </row>
    <row r="12" customFormat="false" ht="12.8" hidden="false" customHeight="false" outlineLevel="0" collapsed="false">
      <c r="A12" s="8" t="n">
        <v>11</v>
      </c>
      <c r="B12" s="8" t="s">
        <v>91</v>
      </c>
    </row>
    <row r="13" customFormat="false" ht="12.8" hidden="false" customHeight="false" outlineLevel="0" collapsed="false">
      <c r="A13" s="8" t="n">
        <v>12</v>
      </c>
      <c r="B13" s="8" t="s">
        <v>92</v>
      </c>
    </row>
    <row r="14" customFormat="false" ht="12.8" hidden="false" customHeight="false" outlineLevel="0" collapsed="false">
      <c r="A14" s="8" t="n">
        <v>13</v>
      </c>
      <c r="B14" s="8" t="s">
        <v>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58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94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7" t="s">
        <v>95</v>
      </c>
      <c r="B4" s="7" t="s">
        <v>96</v>
      </c>
      <c r="C4" s="7" t="s">
        <v>46</v>
      </c>
      <c r="D4" s="7" t="s">
        <v>97</v>
      </c>
      <c r="E4" s="7" t="s">
        <v>98</v>
      </c>
      <c r="F4" s="7" t="s">
        <v>99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8" t="s">
        <v>100</v>
      </c>
      <c r="B5" s="8" t="s">
        <v>101</v>
      </c>
      <c r="C5" s="8" t="n">
        <v>2</v>
      </c>
      <c r="D5" s="12" t="n">
        <v>0</v>
      </c>
      <c r="E5" s="8" t="s">
        <v>102</v>
      </c>
      <c r="F5" s="13" t="n">
        <f aca="false">C5*D5</f>
        <v>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8" t="s">
        <v>103</v>
      </c>
      <c r="B6" s="8" t="s">
        <v>104</v>
      </c>
      <c r="C6" s="8" t="n">
        <v>1</v>
      </c>
      <c r="D6" s="12" t="n">
        <v>2</v>
      </c>
      <c r="E6" s="8" t="s">
        <v>105</v>
      </c>
      <c r="F6" s="13" t="n">
        <f aca="false">C6*D6</f>
        <v>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8" t="s">
        <v>106</v>
      </c>
      <c r="B7" s="8" t="s">
        <v>107</v>
      </c>
      <c r="C7" s="8" t="n">
        <v>1</v>
      </c>
      <c r="D7" s="12" t="n">
        <v>4</v>
      </c>
      <c r="E7" s="8" t="s">
        <v>108</v>
      </c>
      <c r="F7" s="13" t="n">
        <f aca="false">C7*D7</f>
        <v>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8" t="s">
        <v>109</v>
      </c>
      <c r="B8" s="8" t="s">
        <v>110</v>
      </c>
      <c r="C8" s="8" t="n">
        <v>1</v>
      </c>
      <c r="D8" s="12" t="n">
        <v>4</v>
      </c>
      <c r="E8" s="8" t="s">
        <v>111</v>
      </c>
      <c r="F8" s="13" t="n">
        <f aca="false">C8*D8</f>
        <v>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8" t="s">
        <v>112</v>
      </c>
      <c r="B9" s="8" t="s">
        <v>113</v>
      </c>
      <c r="C9" s="8" t="n">
        <v>1</v>
      </c>
      <c r="D9" s="12" t="n">
        <v>4</v>
      </c>
      <c r="E9" s="8" t="s">
        <v>114</v>
      </c>
      <c r="F9" s="13" t="n">
        <f aca="false">C9*D9</f>
        <v>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8" t="s">
        <v>115</v>
      </c>
      <c r="B10" s="8" t="s">
        <v>116</v>
      </c>
      <c r="C10" s="8" t="n">
        <v>0.5</v>
      </c>
      <c r="D10" s="12" t="n">
        <v>2</v>
      </c>
      <c r="E10" s="8" t="s">
        <v>117</v>
      </c>
      <c r="F10" s="13" t="n">
        <f aca="false">C10*D10</f>
        <v>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8" t="s">
        <v>118</v>
      </c>
      <c r="B11" s="8" t="s">
        <v>119</v>
      </c>
      <c r="C11" s="8" t="n">
        <v>0.5</v>
      </c>
      <c r="D11" s="12" t="n">
        <v>4</v>
      </c>
      <c r="E11" s="8" t="s">
        <v>120</v>
      </c>
      <c r="F11" s="13" t="n">
        <f aca="false">C11*D11</f>
        <v>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8" t="s">
        <v>121</v>
      </c>
      <c r="B12" s="8" t="s">
        <v>122</v>
      </c>
      <c r="C12" s="8" t="n">
        <v>2</v>
      </c>
      <c r="D12" s="12" t="n">
        <v>1</v>
      </c>
      <c r="E12" s="8" t="s">
        <v>123</v>
      </c>
      <c r="F12" s="13" t="n">
        <f aca="false">C12*D12</f>
        <v>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8" t="s">
        <v>124</v>
      </c>
      <c r="B13" s="8" t="s">
        <v>125</v>
      </c>
      <c r="C13" s="8" t="n">
        <v>1</v>
      </c>
      <c r="D13" s="12" t="n">
        <v>4</v>
      </c>
      <c r="E13" s="8" t="s">
        <v>126</v>
      </c>
      <c r="F13" s="13" t="n">
        <f aca="false">C13*D13</f>
        <v>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8" t="s">
        <v>127</v>
      </c>
      <c r="B14" s="8" t="s">
        <v>128</v>
      </c>
      <c r="C14" s="8" t="n">
        <v>1</v>
      </c>
      <c r="D14" s="12" t="n">
        <v>0</v>
      </c>
      <c r="E14" s="8" t="s">
        <v>129</v>
      </c>
      <c r="F14" s="13" t="n">
        <f aca="false">C14*D14</f>
        <v>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8" t="s">
        <v>130</v>
      </c>
      <c r="B15" s="8" t="s">
        <v>131</v>
      </c>
      <c r="C15" s="8" t="n">
        <v>1</v>
      </c>
      <c r="D15" s="12" t="n">
        <v>5</v>
      </c>
      <c r="E15" s="8" t="s">
        <v>132</v>
      </c>
      <c r="F15" s="13" t="n">
        <f aca="false">C15*D15</f>
        <v>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8" t="s">
        <v>133</v>
      </c>
      <c r="B16" s="8" t="s">
        <v>134</v>
      </c>
      <c r="C16" s="8" t="n">
        <v>1</v>
      </c>
      <c r="D16" s="12" t="n">
        <v>0</v>
      </c>
      <c r="E16" s="8" t="s">
        <v>135</v>
      </c>
      <c r="F16" s="13" t="n">
        <f aca="false">C16*D16</f>
        <v>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8" t="s">
        <v>136</v>
      </c>
      <c r="B17" s="8" t="s">
        <v>137</v>
      </c>
      <c r="C17" s="8" t="n">
        <v>1</v>
      </c>
      <c r="D17" s="12" t="n">
        <v>1</v>
      </c>
      <c r="E17" s="8" t="s">
        <v>138</v>
      </c>
      <c r="F17" s="13" t="n">
        <f aca="false">C17*D17</f>
        <v>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true" outlineLevel="0" collapsed="false">
      <c r="A18" s="13" t="s">
        <v>139</v>
      </c>
      <c r="B18" s="13"/>
      <c r="C18" s="13"/>
      <c r="D18" s="13"/>
      <c r="E18" s="13"/>
      <c r="F18" s="15" t="n">
        <f aca="false">0.6+0.01*SUM(F5:F17)</f>
        <v>0.89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</sheetData>
  <mergeCells count="2">
    <mergeCell ref="A1:F2"/>
    <mergeCell ref="A18:E18"/>
  </mergeCells>
  <dataValidations count="1">
    <dataValidation allowBlank="false" errorStyle="stop" operator="between" showDropDown="false" showErrorMessage="false" showInputMessage="false" sqref="D5:D17" type="list">
      <formula1>"0,1,2,3,4,5"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58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140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7" t="s">
        <v>95</v>
      </c>
      <c r="B4" s="7" t="s">
        <v>96</v>
      </c>
      <c r="C4" s="7" t="s">
        <v>46</v>
      </c>
      <c r="D4" s="7" t="s">
        <v>97</v>
      </c>
      <c r="E4" s="7" t="s">
        <v>98</v>
      </c>
      <c r="F4" s="7" t="s">
        <v>99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8" t="s">
        <v>141</v>
      </c>
      <c r="B5" s="8" t="s">
        <v>142</v>
      </c>
      <c r="C5" s="8" t="n">
        <v>1.5</v>
      </c>
      <c r="D5" s="12" t="n">
        <v>2</v>
      </c>
      <c r="E5" s="8" t="s">
        <v>143</v>
      </c>
      <c r="F5" s="13" t="n">
        <f aca="false">C5*D5</f>
        <v>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8" t="s">
        <v>144</v>
      </c>
      <c r="B6" s="8" t="s">
        <v>145</v>
      </c>
      <c r="C6" s="8" t="n">
        <v>0.5</v>
      </c>
      <c r="D6" s="12" t="n">
        <v>3</v>
      </c>
      <c r="E6" s="8" t="s">
        <v>146</v>
      </c>
      <c r="F6" s="13" t="n">
        <f aca="false">C6*D6</f>
        <v>1.5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8" t="s">
        <v>147</v>
      </c>
      <c r="B7" s="8" t="s">
        <v>148</v>
      </c>
      <c r="C7" s="8" t="n">
        <v>1</v>
      </c>
      <c r="D7" s="12" t="n">
        <v>3</v>
      </c>
      <c r="E7" s="8" t="s">
        <v>149</v>
      </c>
      <c r="F7" s="13" t="n">
        <f aca="false">C7*D7</f>
        <v>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8" t="s">
        <v>150</v>
      </c>
      <c r="B8" s="8" t="s">
        <v>151</v>
      </c>
      <c r="C8" s="8" t="n">
        <v>0.5</v>
      </c>
      <c r="D8" s="12" t="n">
        <v>3</v>
      </c>
      <c r="E8" s="8" t="s">
        <v>152</v>
      </c>
      <c r="F8" s="13" t="n">
        <f aca="false">C8*D8</f>
        <v>1.5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8" t="s">
        <v>153</v>
      </c>
      <c r="B9" s="8" t="s">
        <v>154</v>
      </c>
      <c r="C9" s="8" t="n">
        <v>1</v>
      </c>
      <c r="D9" s="12" t="n">
        <v>5</v>
      </c>
      <c r="E9" s="8" t="s">
        <v>155</v>
      </c>
      <c r="F9" s="13" t="n">
        <f aca="false">C9*D9</f>
        <v>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8" t="s">
        <v>156</v>
      </c>
      <c r="B10" s="8" t="s">
        <v>157</v>
      </c>
      <c r="C10" s="8" t="n">
        <v>2</v>
      </c>
      <c r="D10" s="12" t="n">
        <v>2</v>
      </c>
      <c r="E10" s="8" t="s">
        <v>158</v>
      </c>
      <c r="F10" s="13" t="n">
        <f aca="false">C10*D10</f>
        <v>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8" t="s">
        <v>159</v>
      </c>
      <c r="B11" s="8" t="s">
        <v>160</v>
      </c>
      <c r="C11" s="8" t="n">
        <v>-1</v>
      </c>
      <c r="D11" s="12" t="n">
        <v>5</v>
      </c>
      <c r="E11" s="8" t="s">
        <v>161</v>
      </c>
      <c r="F11" s="13" t="n">
        <f aca="false">C11*D11</f>
        <v>-5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8" t="s">
        <v>162</v>
      </c>
      <c r="B12" s="8" t="s">
        <v>163</v>
      </c>
      <c r="C12" s="8" t="n">
        <v>-1</v>
      </c>
      <c r="D12" s="12" t="n">
        <v>2</v>
      </c>
      <c r="E12" s="8" t="s">
        <v>164</v>
      </c>
      <c r="F12" s="13" t="n">
        <f aca="false">C12*D12</f>
        <v>-2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true" outlineLevel="0" collapsed="false">
      <c r="A13" s="13" t="s">
        <v>165</v>
      </c>
      <c r="B13" s="13"/>
      <c r="C13" s="13"/>
      <c r="D13" s="13"/>
      <c r="E13" s="13"/>
      <c r="F13" s="15" t="n">
        <f aca="false">1.4-0.03*SUM(F5:F12)</f>
        <v>1.07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</sheetData>
  <mergeCells count="2">
    <mergeCell ref="A1:F2"/>
    <mergeCell ref="A13:E13"/>
  </mergeCells>
  <dataValidations count="1">
    <dataValidation allowBlank="false" errorStyle="stop" operator="between" showDropDown="false" showErrorMessage="false" showInputMessage="false" sqref="D5:D12" type="list">
      <formula1>"0,1,2,3,4,5"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48"/>
  </cols>
  <sheetData>
    <row r="1" customFormat="false" ht="15" hidden="false" customHeight="false" outlineLevel="0" collapsed="false">
      <c r="A1" s="1" t="s">
        <v>166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7" t="s">
        <v>167</v>
      </c>
      <c r="B4" s="7" t="s">
        <v>168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8" t="s">
        <v>169</v>
      </c>
      <c r="B5" s="10" t="n">
        <f aca="false">Actores!G7</f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8" t="s">
        <v>170</v>
      </c>
      <c r="B6" s="10" t="n">
        <f aca="false">Casos_Uso!H10</f>
        <v>15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8" t="s">
        <v>171</v>
      </c>
      <c r="B7" s="10" t="n">
        <f aca="false">B5+B6</f>
        <v>21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8" t="s">
        <v>172</v>
      </c>
      <c r="B8" s="10" t="n">
        <f aca="false">Factores_Tecnicos!F18</f>
        <v>0.89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8" t="s">
        <v>173</v>
      </c>
      <c r="B9" s="10" t="n">
        <f aca="false">Factores_Ambientales!F13</f>
        <v>1.07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8" t="s">
        <v>174</v>
      </c>
      <c r="B10" s="10" t="n">
        <f aca="false">B7*B8*B9</f>
        <v>19.9983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7" t="s">
        <v>11</v>
      </c>
      <c r="B12" s="7" t="s">
        <v>12</v>
      </c>
      <c r="C12" s="7" t="s">
        <v>175</v>
      </c>
      <c r="D12" s="7" t="s">
        <v>176</v>
      </c>
      <c r="E12" s="7" t="s">
        <v>177</v>
      </c>
      <c r="F12" s="7" t="s">
        <v>178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8" t="s">
        <v>15</v>
      </c>
      <c r="B13" s="12" t="n">
        <v>8</v>
      </c>
      <c r="C13" s="10" t="n">
        <f aca="false">$B$10*B13</f>
        <v>159.9864</v>
      </c>
      <c r="D13" s="10" t="n">
        <f aca="false">C13/20</f>
        <v>7.99932</v>
      </c>
      <c r="E13" s="10" t="n">
        <f aca="false">C13/40</f>
        <v>3.99966</v>
      </c>
      <c r="F13" s="8" t="s">
        <v>179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8" t="s">
        <v>16</v>
      </c>
      <c r="B14" s="12" t="n">
        <v>10</v>
      </c>
      <c r="C14" s="10" t="n">
        <f aca="false">$B$10*B14</f>
        <v>199.983</v>
      </c>
      <c r="D14" s="10" t="n">
        <f aca="false">C14/20</f>
        <v>9.99915</v>
      </c>
      <c r="E14" s="10" t="n">
        <f aca="false">C14/40</f>
        <v>4.999575</v>
      </c>
      <c r="F14" s="8" t="s">
        <v>180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8" t="s">
        <v>17</v>
      </c>
      <c r="B15" s="12" t="n">
        <v>15</v>
      </c>
      <c r="C15" s="10" t="n">
        <f aca="false">$B$10*B15</f>
        <v>299.9745</v>
      </c>
      <c r="D15" s="10" t="n">
        <f aca="false">C15/20</f>
        <v>14.998725</v>
      </c>
      <c r="E15" s="10" t="n">
        <f aca="false">C15/40</f>
        <v>7.4993625</v>
      </c>
      <c r="F15" s="8" t="s">
        <v>181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8" t="s">
        <v>18</v>
      </c>
      <c r="B16" s="12" t="n">
        <v>20</v>
      </c>
      <c r="C16" s="10" t="n">
        <f aca="false">$B$10*B16</f>
        <v>399.966</v>
      </c>
      <c r="D16" s="10" t="n">
        <f aca="false">C16/20</f>
        <v>19.9983</v>
      </c>
      <c r="E16" s="10" t="n">
        <f aca="false">C16/40</f>
        <v>9.99915</v>
      </c>
      <c r="F16" s="8" t="s">
        <v>182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7" t="s">
        <v>183</v>
      </c>
      <c r="B18" s="7" t="s">
        <v>184</v>
      </c>
      <c r="C18" s="7" t="s">
        <v>185</v>
      </c>
      <c r="D18" s="7" t="s">
        <v>186</v>
      </c>
      <c r="E18" s="7" t="s">
        <v>187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8" t="s">
        <v>188</v>
      </c>
      <c r="B19" s="16" t="n">
        <v>0.1</v>
      </c>
      <c r="C19" s="10" t="n">
        <f aca="false">$C$14*B19</f>
        <v>19.9983</v>
      </c>
      <c r="D19" s="8" t="n">
        <v>1</v>
      </c>
      <c r="E19" s="8" t="n">
        <v>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8" t="s">
        <v>189</v>
      </c>
      <c r="B20" s="16" t="n">
        <v>0.15</v>
      </c>
      <c r="C20" s="10" t="n">
        <f aca="false">$C$14*B20</f>
        <v>29.99745</v>
      </c>
      <c r="D20" s="8" t="n">
        <v>2</v>
      </c>
      <c r="E20" s="8" t="n">
        <v>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8" t="s">
        <v>190</v>
      </c>
      <c r="B21" s="16" t="n">
        <v>0.2</v>
      </c>
      <c r="C21" s="10" t="n">
        <f aca="false">$C$14*B21</f>
        <v>39.9966</v>
      </c>
      <c r="D21" s="8" t="n">
        <v>3</v>
      </c>
      <c r="E21" s="8" t="n">
        <v>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8" t="s">
        <v>191</v>
      </c>
      <c r="B22" s="16" t="n">
        <v>0.2</v>
      </c>
      <c r="C22" s="10" t="n">
        <f aca="false">$C$14*B22</f>
        <v>39.9966</v>
      </c>
      <c r="D22" s="8" t="n">
        <v>5</v>
      </c>
      <c r="E22" s="8" t="n">
        <v>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8" t="s">
        <v>192</v>
      </c>
      <c r="B23" s="16" t="n">
        <v>0.15</v>
      </c>
      <c r="C23" s="10" t="n">
        <f aca="false">$C$14*B23</f>
        <v>29.99745</v>
      </c>
      <c r="D23" s="8" t="n">
        <v>6</v>
      </c>
      <c r="E23" s="8" t="n">
        <v>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8" t="s">
        <v>193</v>
      </c>
      <c r="B24" s="16" t="n">
        <v>0.15</v>
      </c>
      <c r="C24" s="10" t="n">
        <f aca="false">$C$14*B24</f>
        <v>29.99745</v>
      </c>
      <c r="D24" s="8" t="n">
        <v>7</v>
      </c>
      <c r="E24" s="8" t="n">
        <v>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8" t="s">
        <v>194</v>
      </c>
      <c r="B25" s="16" t="n">
        <v>0.05</v>
      </c>
      <c r="C25" s="10" t="n">
        <f aca="false">$C$14*B25</f>
        <v>9.99915</v>
      </c>
      <c r="D25" s="8" t="n">
        <v>8</v>
      </c>
      <c r="E25" s="8" t="n">
        <v>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13" t="s">
        <v>195</v>
      </c>
      <c r="B26" s="17" t="n">
        <f aca="false">SUM(B19:B25)</f>
        <v>1</v>
      </c>
      <c r="C26" s="10" t="n">
        <f aca="false">SUM(C19:C25)</f>
        <v>199.983</v>
      </c>
      <c r="D26" s="8"/>
      <c r="E26" s="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</sheetData>
  <mergeCells count="1">
    <mergeCell ref="A1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42"/>
    <col collapsed="false" customWidth="true" hidden="false" outlineLevel="0" max="7" min="7" style="0" width="36"/>
  </cols>
  <sheetData>
    <row r="1" customFormat="false" ht="15" hidden="false" customHeight="false" outlineLevel="0" collapsed="false">
      <c r="A1" s="1" t="s">
        <v>196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7" t="s">
        <v>197</v>
      </c>
      <c r="B4" s="7" t="s">
        <v>186</v>
      </c>
      <c r="C4" s="7" t="s">
        <v>187</v>
      </c>
      <c r="D4" s="7" t="s">
        <v>198</v>
      </c>
      <c r="E4" s="7" t="s">
        <v>199</v>
      </c>
      <c r="F4" s="7" t="s">
        <v>200</v>
      </c>
      <c r="G4" s="7" t="s">
        <v>201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8" t="s">
        <v>188</v>
      </c>
      <c r="B5" s="8" t="n">
        <v>1</v>
      </c>
      <c r="C5" s="8" t="n">
        <v>1</v>
      </c>
      <c r="D5" s="16" t="n">
        <v>0.1</v>
      </c>
      <c r="E5" s="10" t="n">
        <f aca="false">Resultado!$C$14*D5</f>
        <v>19.9983</v>
      </c>
      <c r="F5" s="8" t="s">
        <v>202</v>
      </c>
      <c r="G5" s="8" t="s">
        <v>203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8" t="s">
        <v>204</v>
      </c>
      <c r="B6" s="8" t="n">
        <v>2</v>
      </c>
      <c r="C6" s="8" t="n">
        <v>2</v>
      </c>
      <c r="D6" s="16" t="n">
        <v>0.15</v>
      </c>
      <c r="E6" s="10" t="n">
        <f aca="false">Resultado!$C$14*D6</f>
        <v>29.99745</v>
      </c>
      <c r="F6" s="8" t="s">
        <v>205</v>
      </c>
      <c r="G6" s="8" t="s">
        <v>206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8" t="s">
        <v>207</v>
      </c>
      <c r="B7" s="8" t="n">
        <v>3</v>
      </c>
      <c r="C7" s="8" t="n">
        <v>4</v>
      </c>
      <c r="D7" s="16" t="n">
        <v>0.2</v>
      </c>
      <c r="E7" s="10" t="n">
        <f aca="false">Resultado!$C$14*D7</f>
        <v>39.9966</v>
      </c>
      <c r="F7" s="8" t="s">
        <v>208</v>
      </c>
      <c r="G7" s="8" t="s">
        <v>209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8" t="s">
        <v>210</v>
      </c>
      <c r="B8" s="8" t="n">
        <v>5</v>
      </c>
      <c r="C8" s="8" t="n">
        <v>5</v>
      </c>
      <c r="D8" s="16" t="n">
        <v>0.2</v>
      </c>
      <c r="E8" s="10" t="n">
        <f aca="false">Resultado!$C$14*D8</f>
        <v>39.9966</v>
      </c>
      <c r="F8" s="8" t="s">
        <v>211</v>
      </c>
      <c r="G8" s="8" t="s">
        <v>212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8" t="s">
        <v>213</v>
      </c>
      <c r="B9" s="8" t="n">
        <v>6</v>
      </c>
      <c r="C9" s="8" t="n">
        <v>6</v>
      </c>
      <c r="D9" s="16" t="n">
        <v>0.15</v>
      </c>
      <c r="E9" s="10" t="n">
        <f aca="false">Resultado!$C$14*D9</f>
        <v>29.99745</v>
      </c>
      <c r="F9" s="8" t="s">
        <v>214</v>
      </c>
      <c r="G9" s="8" t="s">
        <v>215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8" t="s">
        <v>216</v>
      </c>
      <c r="B10" s="8" t="n">
        <v>7</v>
      </c>
      <c r="C10" s="8" t="n">
        <v>7</v>
      </c>
      <c r="D10" s="16" t="n">
        <v>0.15</v>
      </c>
      <c r="E10" s="10" t="n">
        <f aca="false">Resultado!$C$14*D10</f>
        <v>29.99745</v>
      </c>
      <c r="F10" s="8" t="s">
        <v>217</v>
      </c>
      <c r="G10" s="8" t="s">
        <v>218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8" t="s">
        <v>194</v>
      </c>
      <c r="B11" s="8" t="n">
        <v>8</v>
      </c>
      <c r="C11" s="8" t="n">
        <v>8</v>
      </c>
      <c r="D11" s="16" t="n">
        <v>0.05</v>
      </c>
      <c r="E11" s="10" t="n">
        <f aca="false">Resultado!$C$14*D11</f>
        <v>9.99915</v>
      </c>
      <c r="F11" s="8" t="s">
        <v>219</v>
      </c>
      <c r="G11" s="8" t="s">
        <v>220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true" outlineLevel="0" collapsed="false">
      <c r="A12" s="13" t="s">
        <v>195</v>
      </c>
      <c r="B12" s="13"/>
      <c r="C12" s="13"/>
      <c r="D12" s="17" t="n">
        <f aca="false">SUM(D5:D11)</f>
        <v>1</v>
      </c>
      <c r="E12" s="10" t="n">
        <f aca="false">SUM(E5:E11)</f>
        <v>199.983</v>
      </c>
      <c r="F12" s="8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</sheetData>
  <mergeCells count="2">
    <mergeCell ref="A1:G2"/>
    <mergeCell ref="A12:C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4"/>
    <col collapsed="false" customWidth="true" hidden="false" outlineLevel="0" max="3" min="3" style="0" width="62"/>
    <col collapsed="false" customWidth="true" hidden="false" outlineLevel="0" max="4" min="4" style="0" width="42"/>
  </cols>
  <sheetData>
    <row r="1" customFormat="false" ht="15" hidden="false" customHeight="false" outlineLevel="0" collapsed="false">
      <c r="A1" s="1" t="s">
        <v>221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7" t="s">
        <v>222</v>
      </c>
      <c r="B4" s="7" t="s">
        <v>223</v>
      </c>
      <c r="C4" s="7" t="s">
        <v>224</v>
      </c>
      <c r="D4" s="7" t="s">
        <v>64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8" t="s">
        <v>225</v>
      </c>
      <c r="B5" s="8" t="s">
        <v>226</v>
      </c>
      <c r="C5" s="8" t="s">
        <v>227</v>
      </c>
      <c r="D5" s="8" t="s">
        <v>228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8" t="s">
        <v>229</v>
      </c>
      <c r="B6" s="8" t="s">
        <v>230</v>
      </c>
      <c r="C6" s="8" t="s">
        <v>231</v>
      </c>
      <c r="D6" s="8" t="s">
        <v>232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8" t="s">
        <v>233</v>
      </c>
      <c r="B7" s="8" t="s">
        <v>234</v>
      </c>
      <c r="C7" s="8" t="s">
        <v>235</v>
      </c>
      <c r="D7" s="8" t="s">
        <v>236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8" t="s">
        <v>237</v>
      </c>
      <c r="B8" s="8" t="s">
        <v>238</v>
      </c>
      <c r="C8" s="8" t="s">
        <v>239</v>
      </c>
      <c r="D8" s="8" t="s">
        <v>240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8" t="s">
        <v>241</v>
      </c>
      <c r="B9" s="8" t="s">
        <v>242</v>
      </c>
      <c r="C9" s="8" t="s">
        <v>243</v>
      </c>
      <c r="D9" s="8" t="s">
        <v>244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21.65" hidden="false" customHeight="false" outlineLevel="0" collapsed="false">
      <c r="A10" s="8" t="s">
        <v>241</v>
      </c>
      <c r="B10" s="8" t="s">
        <v>245</v>
      </c>
      <c r="C10" s="8" t="s">
        <v>246</v>
      </c>
      <c r="D10" s="8" t="s">
        <v>247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8" t="s">
        <v>248</v>
      </c>
      <c r="B11" s="8" t="s">
        <v>249</v>
      </c>
      <c r="C11" s="8" t="s">
        <v>250</v>
      </c>
      <c r="D11" s="8" t="s">
        <v>251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</sheetData>
  <mergeCells count="1">
    <mergeCell ref="A1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2026-07-28T14:48:46Z</dcterms:modified>
  <cp:revision>1</cp:revision>
  <dc:subject/>
  <dc:title/>
</cp:coreProperties>
</file>